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地勘输入参数与桩输入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<sst xmlns="http://schemas.openxmlformats.org/spreadsheetml/2006/main" count="87" uniqueCount="30">
  <si>
    <t>层号</t>
  </si>
  <si>
    <t>土壤类型</t>
  </si>
  <si>
    <r>
      <rPr>
        <sz val="14"/>
        <color theme="1"/>
        <rFont val="宋体"/>
        <charset val="134"/>
      </rPr>
      <t>土层描述</t>
    </r>
  </si>
  <si>
    <t>深度/m层顶</t>
  </si>
  <si>
    <t>深度/m层底</t>
  </si>
  <si>
    <r>
      <rPr>
        <sz val="16"/>
        <color theme="1"/>
        <rFont val="宋体"/>
        <charset val="134"/>
      </rPr>
      <t>层厚</t>
    </r>
    <r>
      <rPr>
        <sz val="16"/>
        <color theme="1"/>
        <rFont val="Times New Roman"/>
        <charset val="134"/>
      </rPr>
      <t>/m</t>
    </r>
  </si>
  <si>
    <t>相对密实度/%</t>
  </si>
  <si>
    <r>
      <rPr>
        <sz val="16"/>
        <color theme="1"/>
        <rFont val="宋体"/>
        <charset val="134"/>
      </rPr>
      <t>有效重度</t>
    </r>
    <r>
      <rPr>
        <sz val="16"/>
        <color theme="1"/>
        <rFont val="Times New Roman"/>
        <charset val="134"/>
      </rPr>
      <t>kN/m</t>
    </r>
    <r>
      <rPr>
        <vertAlign val="superscript"/>
        <sz val="16"/>
        <color theme="1"/>
        <rFont val="Times New Roman"/>
        <charset val="134"/>
      </rPr>
      <t>3</t>
    </r>
  </si>
  <si>
    <t>设计抗剪强度kPa层顶</t>
  </si>
  <si>
    <t>设计抗剪强度kPa层底</t>
  </si>
  <si>
    <t>内摩擦角</t>
  </si>
  <si>
    <r>
      <rPr>
        <sz val="16"/>
        <color theme="1"/>
        <rFont val="宋体"/>
        <charset val="134"/>
      </rPr>
      <t>侧阻力参数</t>
    </r>
    <r>
      <rPr>
        <sz val="16"/>
        <color theme="1"/>
        <rFont val="Times New Roman"/>
        <charset val="134"/>
      </rPr>
      <t>β</t>
    </r>
    <r>
      <rPr>
        <sz val="16"/>
        <color theme="1"/>
        <rFont val="宋体"/>
        <charset val="134"/>
      </rPr>
      <t>（砂土</t>
    </r>
    <r>
      <rPr>
        <sz val="16"/>
        <color theme="1"/>
        <rFont val="Times New Roman"/>
        <charset val="134"/>
      </rPr>
      <t>/</t>
    </r>
    <r>
      <rPr>
        <sz val="16"/>
        <color theme="1"/>
        <rFont val="宋体"/>
        <charset val="134"/>
      </rPr>
      <t>查表）</t>
    </r>
  </si>
  <si>
    <r>
      <rPr>
        <sz val="16"/>
        <color theme="1"/>
        <rFont val="宋体"/>
        <charset val="134"/>
      </rPr>
      <t>侧摩阻力限值</t>
    </r>
    <r>
      <rPr>
        <sz val="16"/>
        <color theme="1"/>
        <rFont val="Times New Roman"/>
        <charset val="134"/>
      </rPr>
      <t>f</t>
    </r>
    <r>
      <rPr>
        <vertAlign val="subscript"/>
        <sz val="11"/>
        <color theme="1"/>
        <rFont val="宋体"/>
        <charset val="134"/>
        <scheme val="minor"/>
      </rPr>
      <t>max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</rPr>
      <t>kpa</t>
    </r>
  </si>
  <si>
    <r>
      <t>Nq</t>
    </r>
    <r>
      <rPr>
        <sz val="16"/>
        <color theme="1"/>
        <rFont val="宋体"/>
        <charset val="134"/>
      </rPr>
      <t>（砂土</t>
    </r>
    <r>
      <rPr>
        <sz val="16"/>
        <color theme="1"/>
        <rFont val="Times New Roman"/>
        <charset val="134"/>
      </rPr>
      <t>/</t>
    </r>
    <r>
      <rPr>
        <sz val="16"/>
        <color theme="1"/>
        <rFont val="宋体"/>
        <charset val="134"/>
      </rPr>
      <t>查表）</t>
    </r>
  </si>
  <si>
    <r>
      <rPr>
        <sz val="16"/>
        <color theme="1"/>
        <rFont val="宋体"/>
        <charset val="134"/>
      </rPr>
      <t>端阻力限值q</t>
    </r>
    <r>
      <rPr>
        <vertAlign val="subscript"/>
        <sz val="16"/>
        <color theme="1"/>
        <rFont val="宋体"/>
        <charset val="134"/>
      </rPr>
      <t>max</t>
    </r>
    <r>
      <rPr>
        <sz val="11"/>
        <color theme="1"/>
        <rFont val="宋体"/>
        <charset val="134"/>
        <scheme val="minor"/>
      </rPr>
      <t>/</t>
    </r>
    <r>
      <rPr>
        <sz val="11"/>
        <color theme="1"/>
        <rFont val="宋体"/>
        <charset val="134"/>
      </rPr>
      <t>kpa</t>
    </r>
  </si>
  <si>
    <t>砂土</t>
  </si>
  <si>
    <r>
      <rPr>
        <sz val="9"/>
        <color theme="1"/>
        <rFont val="Times New Roman"/>
        <charset val="134"/>
      </rPr>
      <t xml:space="preserve">S P/S1
</t>
    </r>
    <r>
      <rPr>
        <sz val="9"/>
        <color theme="1"/>
        <rFont val="宋体"/>
        <charset val="134"/>
      </rPr>
      <t>级配不良的粉质砂土</t>
    </r>
    <r>
      <rPr>
        <sz val="9"/>
        <color theme="1"/>
        <rFont val="Times New Roman"/>
        <charset val="134"/>
      </rPr>
      <t xml:space="preserve">
Poorly graded SAND with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Loose</t>
    </r>
  </si>
  <si>
    <t>/</t>
  </si>
  <si>
    <t>粘土</t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</si>
  <si>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soft~Stiff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</si>
  <si>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stiff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</si>
  <si>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含粉土的黏土</t>
    </r>
    <r>
      <rPr>
        <sz val="9"/>
        <color theme="1"/>
        <rFont val="Times New Roman"/>
        <charset val="134"/>
      </rPr>
      <t xml:space="preserve">
Silty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Soft~Stiff</t>
    </r>
  </si>
  <si>
    <r>
      <rPr>
        <sz val="9"/>
        <color theme="1"/>
        <rFont val="Times New Roman"/>
        <charset val="134"/>
      </rPr>
      <t xml:space="preserve">M L/M1B
</t>
    </r>
    <r>
      <rPr>
        <sz val="9"/>
        <color theme="1"/>
        <rFont val="宋体"/>
        <charset val="134"/>
      </rPr>
      <t>含黏土的粉土</t>
    </r>
    <r>
      <rPr>
        <sz val="9"/>
        <color theme="1"/>
        <rFont val="Times New Roman"/>
        <charset val="134"/>
      </rPr>
      <t xml:space="preserve">
Clayey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stiff</t>
    </r>
  </si>
  <si>
    <r>
      <rPr>
        <sz val="9"/>
        <color theme="1"/>
        <rFont val="Times New Roman"/>
        <charset val="134"/>
      </rPr>
      <t xml:space="preserve">M L/M1B
</t>
    </r>
    <r>
      <rPr>
        <sz val="9"/>
        <color theme="1"/>
        <rFont val="宋体"/>
        <charset val="134"/>
      </rPr>
      <t>含砂土的粉土</t>
    </r>
    <r>
      <rPr>
        <sz val="9"/>
        <color theme="1"/>
        <rFont val="Times New Roman"/>
        <charset val="134"/>
      </rPr>
      <t xml:space="preserve">
Sandy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Stiff~Very stiff</t>
    </r>
  </si>
  <si>
    <r>
      <rPr>
        <sz val="9"/>
        <color theme="1"/>
        <rFont val="Times New Roman"/>
        <charset val="134"/>
      </rPr>
      <t xml:space="preserve">S M/M1A
</t>
    </r>
    <r>
      <rPr>
        <sz val="9"/>
        <color theme="1"/>
        <rFont val="宋体"/>
        <charset val="134"/>
      </rPr>
      <t>粉质或粘土砂</t>
    </r>
    <r>
      <rPr>
        <sz val="9"/>
        <color theme="1"/>
        <rFont val="Times New Roman"/>
        <charset val="134"/>
      </rPr>
      <t xml:space="preserve">
Silty or Clayly SAND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dense</t>
    </r>
  </si>
  <si>
    <r>
      <rPr>
        <sz val="9"/>
        <color theme="1"/>
        <rFont val="Times New Roman"/>
        <charset val="134"/>
      </rPr>
      <t xml:space="preserve">C L/C1
</t>
    </r>
    <r>
      <rPr>
        <sz val="9"/>
        <color theme="1"/>
        <rFont val="宋体"/>
        <charset val="134"/>
      </rPr>
      <t>含砂土的黏土</t>
    </r>
    <r>
      <rPr>
        <sz val="9"/>
        <color theme="1"/>
        <rFont val="Times New Roman"/>
        <charset val="134"/>
      </rPr>
      <t xml:space="preserve">
Sandy CLAY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stiff</t>
    </r>
  </si>
  <si>
    <r>
      <rPr>
        <sz val="9"/>
        <color theme="1"/>
        <rFont val="Times New Roman"/>
        <charset val="134"/>
      </rPr>
      <t xml:space="preserve">S P/S1
</t>
    </r>
    <r>
      <rPr>
        <sz val="9"/>
        <color theme="1"/>
        <rFont val="宋体"/>
        <charset val="134"/>
      </rPr>
      <t>级配不良的粉质砂土</t>
    </r>
    <r>
      <rPr>
        <sz val="9"/>
        <color theme="1"/>
        <rFont val="Times New Roman"/>
        <charset val="134"/>
      </rPr>
      <t xml:space="preserve">
Poorly graded SAND with silt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Dense</t>
    </r>
  </si>
  <si>
    <r>
      <rPr>
        <sz val="9"/>
        <color theme="1"/>
        <rFont val="Times New Roman"/>
        <charset val="134"/>
      </rPr>
      <t xml:space="preserve">G M/S2
</t>
    </r>
    <r>
      <rPr>
        <sz val="9"/>
        <color theme="1"/>
        <rFont val="宋体"/>
        <charset val="134"/>
      </rPr>
      <t>含粉土的砾石</t>
    </r>
    <r>
      <rPr>
        <sz val="9"/>
        <color theme="1"/>
        <rFont val="Times New Roman"/>
        <charset val="134"/>
      </rPr>
      <t xml:space="preserve">
Silty GRAVEL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Medium dense~Very dense</t>
    </r>
  </si>
  <si>
    <r>
      <rPr>
        <sz val="9"/>
        <color theme="1"/>
        <rFont val="Times New Roman"/>
        <charset val="134"/>
      </rPr>
      <t xml:space="preserve">W S/S2
</t>
    </r>
    <r>
      <rPr>
        <sz val="9"/>
        <color theme="1"/>
        <rFont val="宋体"/>
        <charset val="134"/>
      </rPr>
      <t>含粉土的砂土</t>
    </r>
    <r>
      <rPr>
        <sz val="9"/>
        <color theme="1"/>
        <rFont val="Times New Roman"/>
        <charset val="134"/>
      </rPr>
      <t xml:space="preserve">
Weathered Soil</t>
    </r>
    <r>
      <rPr>
        <sz val="9"/>
        <color theme="1"/>
        <rFont val="宋体"/>
        <charset val="134"/>
      </rPr>
      <t>：</t>
    </r>
    <r>
      <rPr>
        <sz val="9"/>
        <color theme="1"/>
        <rFont val="Times New Roman"/>
        <charset val="134"/>
      </rPr>
      <t>Sity SAND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Loose~Very dense</t>
    </r>
  </si>
  <si>
    <r>
      <rPr>
        <sz val="9"/>
        <color theme="1"/>
        <rFont val="Times New Roman"/>
        <charset val="134"/>
      </rPr>
      <t xml:space="preserve">W R
</t>
    </r>
    <r>
      <rPr>
        <sz val="9"/>
        <color theme="1"/>
        <rFont val="宋体"/>
        <charset val="134"/>
      </rPr>
      <t>风化岩、含粉土的砂土、岩石碎块</t>
    </r>
    <r>
      <rPr>
        <sz val="9"/>
        <color theme="1"/>
        <rFont val="Times New Roman"/>
        <charset val="134"/>
      </rPr>
      <t xml:space="preserve">
Weathered Rock,Sity SAND, Rock fragment</t>
    </r>
    <r>
      <rPr>
        <sz val="9"/>
        <color theme="1"/>
        <rFont val="宋体"/>
        <charset val="134"/>
      </rPr>
      <t>，</t>
    </r>
    <r>
      <rPr>
        <sz val="9"/>
        <color theme="1"/>
        <rFont val="Times New Roman"/>
        <charset val="134"/>
      </rPr>
      <t>Very dense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</si>
</sst>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9"/>
      <color theme="1"/>
      <name val="Times New Roman"/>
      <charset val="134"/>
    </font>
    <font>
      <sz val="16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vertAlign val="subscript"/>
      <sz val="16"/>
      <color theme="1"/>
      <name val="宋体"/>
      <charset val="134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vertAlign val="superscript"/>
      <sz val="16"/>
      <color theme="1"/>
      <name val="Times New Roman"/>
      <charset val="134"/>
    </font>
    <font>
      <vertAlign val="sub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zoomScale="55" zoomScaleNormal="55" workbookViewId="0">
      <selection activeCell="N1" sqref="N1"/>
    </sheetView>
  </sheetViews>
  <sheetFormatPr defaultColWidth="8.725" defaultRowHeight="13.5"/>
  <cols>
    <col min="1" max="1" width="17.725" customWidth="1"/>
    <col min="2" max="2" width="16.725" customWidth="1"/>
    <col min="3" max="3" width="19.4583333333333" customWidth="1"/>
    <col min="4" max="4" width="14.275" customWidth="1"/>
    <col min="5" max="5" width="15" customWidth="1"/>
    <col min="6" max="6" width="14.275" customWidth="1"/>
    <col min="7" max="7" width="20.1833333333333" customWidth="1"/>
    <col min="8" max="8" width="14.6333333333333" customWidth="1"/>
    <col min="9" max="9" width="24.275" customWidth="1"/>
    <col min="10" max="11" width="19.5416666666667" customWidth="1"/>
    <col min="12" max="12" width="21.5416666666667" customWidth="1"/>
    <col min="13" max="14" width="23.6333333333333" customWidth="1"/>
    <col min="15" max="15" width="21.5416666666667" customWidth="1"/>
  </cols>
  <sheetData>
    <row r="1" ht="48" customHeight="1" spans="1:1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4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7" t="s">
        <v>13</v>
      </c>
      <c r="O1" s="4" t="s">
        <v>14</v>
      </c>
    </row>
    <row r="2" ht="53" customHeight="1" spans="1:15">
      <c r="A2" s="5">
        <v>1</v>
      </c>
      <c r="B2" s="1" t="s">
        <v>15</v>
      </c>
      <c r="C2" s="6" t="s">
        <v>16</v>
      </c>
      <c r="D2" s="5">
        <v>1.5</v>
      </c>
      <c r="E2" s="5">
        <v>5</v>
      </c>
      <c r="F2" s="5">
        <f t="shared" ref="F2:F13" si="0">E2-D2</f>
        <v>3.5</v>
      </c>
      <c r="G2" s="7">
        <v>60</v>
      </c>
      <c r="H2" s="5">
        <v>9.5</v>
      </c>
      <c r="I2" s="5" t="s">
        <v>17</v>
      </c>
      <c r="J2" s="8" t="s">
        <v>17</v>
      </c>
      <c r="K2" s="5">
        <v>33</v>
      </c>
      <c r="L2" s="5">
        <v>0.37</v>
      </c>
      <c r="M2" s="5">
        <v>81</v>
      </c>
      <c r="N2" s="5">
        <v>20</v>
      </c>
      <c r="O2" s="5">
        <v>5</v>
      </c>
    </row>
    <row r="3" ht="53" customHeight="1" spans="1:15">
      <c r="A3" s="5">
        <v>2</v>
      </c>
      <c r="B3" s="1" t="s">
        <v>18</v>
      </c>
      <c r="C3" s="6" t="s">
        <v>19</v>
      </c>
      <c r="D3" s="5">
        <v>5</v>
      </c>
      <c r="E3" s="5">
        <v>8</v>
      </c>
      <c r="F3" s="5">
        <f t="shared" si="0"/>
        <v>3</v>
      </c>
      <c r="G3" s="7" t="s">
        <v>17</v>
      </c>
      <c r="H3" s="5">
        <v>8.5</v>
      </c>
      <c r="I3" s="5">
        <v>15.5</v>
      </c>
      <c r="J3" s="8">
        <v>22</v>
      </c>
      <c r="K3" s="5" t="s">
        <v>17</v>
      </c>
      <c r="L3" s="5" t="s">
        <v>17</v>
      </c>
      <c r="M3" s="8" t="s">
        <v>17</v>
      </c>
      <c r="N3" s="5" t="s">
        <v>17</v>
      </c>
      <c r="O3" s="8" t="s">
        <v>17</v>
      </c>
    </row>
    <row r="4" ht="53" customHeight="1" spans="1:15">
      <c r="A4" s="5">
        <v>3</v>
      </c>
      <c r="B4" s="1" t="s">
        <v>18</v>
      </c>
      <c r="C4" s="6" t="s">
        <v>20</v>
      </c>
      <c r="D4" s="5">
        <v>8</v>
      </c>
      <c r="E4" s="5">
        <v>11</v>
      </c>
      <c r="F4" s="5">
        <f t="shared" si="0"/>
        <v>3</v>
      </c>
      <c r="G4" s="7" t="s">
        <v>17</v>
      </c>
      <c r="H4" s="5">
        <v>8.5</v>
      </c>
      <c r="I4" s="5">
        <v>22</v>
      </c>
      <c r="J4" s="8">
        <v>27.5</v>
      </c>
      <c r="K4" s="5" t="s">
        <v>17</v>
      </c>
      <c r="L4" s="5" t="s">
        <v>17</v>
      </c>
      <c r="M4" s="8" t="s">
        <v>17</v>
      </c>
      <c r="N4" s="5" t="s">
        <v>17</v>
      </c>
      <c r="O4" s="8" t="s">
        <v>17</v>
      </c>
    </row>
    <row r="5" ht="53" customHeight="1" spans="1:15">
      <c r="A5" s="5">
        <v>4</v>
      </c>
      <c r="B5" s="1" t="s">
        <v>18</v>
      </c>
      <c r="C5" s="6" t="s">
        <v>21</v>
      </c>
      <c r="D5" s="5">
        <v>11</v>
      </c>
      <c r="E5" s="5">
        <v>23</v>
      </c>
      <c r="F5" s="5">
        <f t="shared" si="0"/>
        <v>12</v>
      </c>
      <c r="G5" s="7" t="s">
        <v>17</v>
      </c>
      <c r="H5" s="5">
        <v>8.5</v>
      </c>
      <c r="I5" s="5">
        <v>27.5</v>
      </c>
      <c r="J5" s="8">
        <v>52</v>
      </c>
      <c r="K5" s="5" t="s">
        <v>17</v>
      </c>
      <c r="L5" s="5" t="s">
        <v>17</v>
      </c>
      <c r="M5" s="8" t="s">
        <v>17</v>
      </c>
      <c r="N5" s="5" t="s">
        <v>17</v>
      </c>
      <c r="O5" s="8" t="s">
        <v>17</v>
      </c>
    </row>
    <row r="6" ht="53" customHeight="1" spans="1:15">
      <c r="A6" s="5">
        <v>5</v>
      </c>
      <c r="B6" s="1" t="s">
        <v>18</v>
      </c>
      <c r="C6" s="6" t="s">
        <v>22</v>
      </c>
      <c r="D6" s="5">
        <v>23</v>
      </c>
      <c r="E6" s="5">
        <v>26</v>
      </c>
      <c r="F6" s="5">
        <f t="shared" si="0"/>
        <v>3</v>
      </c>
      <c r="G6" s="7" t="s">
        <v>17</v>
      </c>
      <c r="H6" s="5">
        <v>9</v>
      </c>
      <c r="I6" s="5">
        <v>66.5</v>
      </c>
      <c r="J6" s="8">
        <v>74</v>
      </c>
      <c r="K6" s="5" t="s">
        <v>17</v>
      </c>
      <c r="L6" s="5" t="s">
        <v>17</v>
      </c>
      <c r="M6" s="8" t="s">
        <v>17</v>
      </c>
      <c r="N6" s="5" t="s">
        <v>17</v>
      </c>
      <c r="O6" s="8" t="s">
        <v>17</v>
      </c>
    </row>
    <row r="7" ht="53" customHeight="1" spans="1:15">
      <c r="A7" s="5">
        <v>6</v>
      </c>
      <c r="B7" s="1" t="s">
        <v>18</v>
      </c>
      <c r="C7" s="6" t="s">
        <v>23</v>
      </c>
      <c r="D7" s="5">
        <v>26</v>
      </c>
      <c r="E7" s="5">
        <v>30</v>
      </c>
      <c r="F7" s="5">
        <f t="shared" si="0"/>
        <v>4</v>
      </c>
      <c r="G7" s="7" t="s">
        <v>17</v>
      </c>
      <c r="H7" s="5">
        <v>9</v>
      </c>
      <c r="I7" s="8">
        <v>74</v>
      </c>
      <c r="J7" s="8">
        <v>84</v>
      </c>
      <c r="K7" s="5" t="s">
        <v>17</v>
      </c>
      <c r="L7" s="5" t="s">
        <v>17</v>
      </c>
      <c r="M7" s="8" t="s">
        <v>17</v>
      </c>
      <c r="N7" s="5" t="s">
        <v>17</v>
      </c>
      <c r="O7" s="8" t="s">
        <v>17</v>
      </c>
    </row>
    <row r="8" ht="53" customHeight="1" spans="1:15">
      <c r="A8" s="5">
        <v>7</v>
      </c>
      <c r="B8" s="1" t="s">
        <v>15</v>
      </c>
      <c r="C8" s="6" t="s">
        <v>24</v>
      </c>
      <c r="D8" s="5">
        <v>30</v>
      </c>
      <c r="E8" s="5">
        <v>41</v>
      </c>
      <c r="F8" s="5">
        <f t="shared" si="0"/>
        <v>11</v>
      </c>
      <c r="G8" s="7">
        <v>30</v>
      </c>
      <c r="H8" s="5">
        <v>9.5</v>
      </c>
      <c r="I8" s="5" t="s">
        <v>17</v>
      </c>
      <c r="J8" s="8" t="s">
        <v>17</v>
      </c>
      <c r="K8" s="5">
        <v>28.5</v>
      </c>
      <c r="L8" s="5">
        <v>0.29</v>
      </c>
      <c r="M8" s="8">
        <v>67</v>
      </c>
      <c r="N8" s="5">
        <v>12</v>
      </c>
      <c r="O8" s="8">
        <v>3</v>
      </c>
    </row>
    <row r="9" ht="53" customHeight="1" spans="1:15">
      <c r="A9" s="5">
        <v>8</v>
      </c>
      <c r="B9" s="1" t="s">
        <v>18</v>
      </c>
      <c r="C9" s="6" t="s">
        <v>25</v>
      </c>
      <c r="D9" s="5">
        <v>41</v>
      </c>
      <c r="E9" s="5">
        <v>44</v>
      </c>
      <c r="F9" s="5">
        <f t="shared" si="0"/>
        <v>3</v>
      </c>
      <c r="G9" s="7" t="s">
        <v>17</v>
      </c>
      <c r="H9" s="5">
        <v>8.5</v>
      </c>
      <c r="I9" s="5">
        <v>97</v>
      </c>
      <c r="J9" s="8">
        <v>102</v>
      </c>
      <c r="K9" s="5" t="s">
        <v>17</v>
      </c>
      <c r="L9" s="5" t="s">
        <v>17</v>
      </c>
      <c r="M9" s="8" t="s">
        <v>17</v>
      </c>
      <c r="N9" s="5" t="s">
        <v>17</v>
      </c>
      <c r="O9" s="8" t="s">
        <v>17</v>
      </c>
    </row>
    <row r="10" ht="53" customHeight="1" spans="1:15">
      <c r="A10" s="5">
        <v>9</v>
      </c>
      <c r="B10" s="1" t="s">
        <v>15</v>
      </c>
      <c r="C10" s="6" t="s">
        <v>26</v>
      </c>
      <c r="D10" s="5">
        <v>44</v>
      </c>
      <c r="E10" s="5">
        <v>46</v>
      </c>
      <c r="F10" s="5">
        <f t="shared" si="0"/>
        <v>2</v>
      </c>
      <c r="G10" s="7">
        <v>50</v>
      </c>
      <c r="H10" s="5">
        <v>9.5</v>
      </c>
      <c r="I10" s="5" t="s">
        <v>17</v>
      </c>
      <c r="J10" s="8" t="s">
        <v>17</v>
      </c>
      <c r="K10" s="5">
        <v>31</v>
      </c>
      <c r="L10" s="5">
        <v>0.37</v>
      </c>
      <c r="M10" s="5">
        <v>81</v>
      </c>
      <c r="N10" s="5">
        <v>20</v>
      </c>
      <c r="O10" s="5">
        <v>5</v>
      </c>
    </row>
    <row r="11" ht="53" customHeight="1" spans="1:15">
      <c r="A11" s="5">
        <v>10</v>
      </c>
      <c r="B11" s="1" t="s">
        <v>15</v>
      </c>
      <c r="C11" s="6" t="s">
        <v>27</v>
      </c>
      <c r="D11" s="5">
        <v>46</v>
      </c>
      <c r="E11" s="5">
        <v>48</v>
      </c>
      <c r="F11" s="5">
        <f t="shared" si="0"/>
        <v>2</v>
      </c>
      <c r="G11" s="7">
        <v>50</v>
      </c>
      <c r="H11" s="5">
        <v>9.5</v>
      </c>
      <c r="I11" s="5" t="s">
        <v>17</v>
      </c>
      <c r="J11" s="8" t="s">
        <v>17</v>
      </c>
      <c r="K11" s="5">
        <v>31</v>
      </c>
      <c r="L11" s="5">
        <v>0.37</v>
      </c>
      <c r="M11" s="5">
        <v>81</v>
      </c>
      <c r="N11" s="5">
        <v>20</v>
      </c>
      <c r="O11" s="5">
        <v>5</v>
      </c>
    </row>
    <row r="12" ht="53" customHeight="1" spans="1:15">
      <c r="A12" s="5">
        <v>11</v>
      </c>
      <c r="B12" s="1" t="s">
        <v>15</v>
      </c>
      <c r="C12" s="6" t="s">
        <v>28</v>
      </c>
      <c r="D12" s="5">
        <v>48</v>
      </c>
      <c r="E12" s="5">
        <v>51</v>
      </c>
      <c r="F12" s="5">
        <f t="shared" si="0"/>
        <v>3</v>
      </c>
      <c r="G12" s="7">
        <v>50</v>
      </c>
      <c r="H12" s="5">
        <v>9.5</v>
      </c>
      <c r="I12" s="5" t="s">
        <v>17</v>
      </c>
      <c r="J12" s="8" t="s">
        <v>17</v>
      </c>
      <c r="K12" s="5">
        <v>31</v>
      </c>
      <c r="L12" s="5">
        <v>0.37</v>
      </c>
      <c r="M12" s="5">
        <v>81</v>
      </c>
      <c r="N12" s="5">
        <v>20</v>
      </c>
      <c r="O12" s="5">
        <v>5</v>
      </c>
    </row>
    <row r="13" ht="82" customHeight="1" spans="1:15">
      <c r="A13" s="5">
        <v>12</v>
      </c>
      <c r="B13" s="1" t="s">
        <v>15</v>
      </c>
      <c r="C13" s="6" t="s">
        <v>29</v>
      </c>
      <c r="D13" s="5">
        <v>51</v>
      </c>
      <c r="E13" s="5">
        <v>52</v>
      </c>
      <c r="F13" s="5">
        <f t="shared" si="0"/>
        <v>1</v>
      </c>
      <c r="G13" s="7">
        <v>55</v>
      </c>
      <c r="H13" s="5">
        <v>10</v>
      </c>
      <c r="I13" s="5" t="s">
        <v>17</v>
      </c>
      <c r="J13" s="8" t="s">
        <v>17</v>
      </c>
      <c r="K13" s="5">
        <v>38</v>
      </c>
      <c r="L13" s="5">
        <v>0.37</v>
      </c>
      <c r="M13" s="5">
        <v>81</v>
      </c>
      <c r="N13" s="5">
        <v>20</v>
      </c>
      <c r="O13" s="5">
        <v>5</v>
      </c>
    </row>
  </sheetData>
  <dataValidations count="1">
    <dataValidation type="list" allowBlank="1" showInputMessage="1" showErrorMessage="1" sqref="B2:B13">
      <formula1>"砂土,粘土"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地勘输入参数与桩输入参数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10732</dc:creator>
  <cp:lastModifiedBy>二十</cp:lastModifiedBy>
  <dcterms:created xsi:type="dcterms:W3CDTF">2025-09-09T02:54:00Z</dcterms:created>
  <dcterms:modified xsi:type="dcterms:W3CDTF">2025-09-28T07:15:03Z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DAFA54C92ACD40CF9B4A79294A080388_13</vt:lpwstr>
  </property>
  <property fmtid="{D5CDD505-2E9C-101B-9397-08002B2CF9AE}" pid="3" name="KSOProductBuildVer">
    <vt:lpwstr>2052-12.1.0.22529</vt:lpwstr>
  </property>
</Properties>
</file>